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1b69416cd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catchments" sheetId="1" r:id="R06405d95ddbf4abd"/>
    <x:sheet xmlns:r="http://schemas.openxmlformats.org/officeDocument/2006/relationships" name="Inputs" sheetId="2" r:id="Rbd2015c5929a4371"/>
    <x:sheet xmlns:r="http://schemas.openxmlformats.org/officeDocument/2006/relationships" name="Node_Summary" sheetId="3" r:id="R61785e7730b3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72b5e06554bba" /><Relationship Type="http://schemas.openxmlformats.org/officeDocument/2006/relationships/theme" Target="/xl/theme/theme1.xml" Id="Rab497582076b4b59" /><Relationship Type="http://schemas.openxmlformats.org/officeDocument/2006/relationships/sharedStrings" Target="/xl/sharedStrings.xml" Id="R32d3f4e7ecaa4503" /><Relationship Type="http://schemas.openxmlformats.org/officeDocument/2006/relationships/worksheet" Target="/xl/worksheets/sheet1.xml" Id="R06405d95ddbf4abd" /><Relationship Type="http://schemas.openxmlformats.org/officeDocument/2006/relationships/worksheet" Target="/xl/worksheets/sheet2.xml" Id="Rbd2015c5929a4371" /><Relationship Type="http://schemas.openxmlformats.org/officeDocument/2006/relationships/worksheet" Target="/xl/worksheets/sheet3.xml" Id="R61785e7730b34b82" /></Relationships>
</file>

<file path=xl/tables/table1.xml><?xml version="1.0" encoding="utf-8"?>
<x:table xmlns:x="http://schemas.openxmlformats.org/spreadsheetml/2006/main" id="1" name="SubcatchmentsTable" displayName="SubcatchmentsTable" ref="A1:L6" headerRowCount="1">
  <x:tableColumns count="12">
    <x:tableColumn id="1" name="subcatchment_id"/>
    <x:tableColumn id="2" name="drains_to"/>
    <x:tableColumn id="3" name="land_use"/>
    <x:tableColumn id="4" name="area_acres"/>
    <x:tableColumn id="5" name="runoff_coefficient_C"/>
    <x:tableColumn id="6" name="time_of_concentration_min"/>
    <x:tableColumn id="7" name="impervious_percent"/>
    <x:tableColumn id="8" name="source"/>
    <x:tableColumn id="9" name="status"/>
    <x:tableColumn id="10" name="notes"/>
    <x:tableColumn id="11" name="peak_Q_cfs_25yr"/>
    <x:tableColumn id="12" name="data_flag"/>
  </x:tableColumns>
  <x:tableStyleInfo name="TableStyleMedium2" showRowStripes="1"/>
</x:table>
</file>

<file path=xl/tables/table2.xml><?xml version="1.0" encoding="utf-8"?>
<x:table xmlns:x="http://schemas.openxmlformats.org/spreadsheetml/2006/main" id="2" name="InputTable" displayName="InputTable" ref="A1:B7" headerRowCount="1">
  <x:tableColumns count="2">
    <x:tableColumn id="1" name="input_name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NodeSummaryTable" displayName="NodeSummaryTable" ref="A1:F6" headerRowCount="1">
  <x:tableColumns count="6">
    <x:tableColumn id="1" name="node"/>
    <x:tableColumn id="2" name="contributing_subcatchments"/>
    <x:tableColumn id="3" name="area_acres"/>
    <x:tableColumn id="4" name="weighted_C"/>
    <x:tableColumn id="5" name="peak_Q_cfs_25yr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93bf11a6a642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75a69e051a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c5ce3d9f5c4ca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15" hidden="0" customWidth="1"/>
    <x:col min="5" max="5" width="18" hidden="0" customWidth="1"/>
    <x:col min="6" max="6" width="22" hidden="0" customWidth="1"/>
    <x:col min="7" max="7" width="18" hidden="0" customWidth="1"/>
    <x:col min="8" max="8" width="36" hidden="0" customWidth="1"/>
    <x:col min="9" max="9" width="18" hidden="0" customWidth="1"/>
    <x:col min="10" max="10" width="46" hidden="0" customWidth="1"/>
    <x:col min="11" max="11" width="18" hidden="0" customWidth="1"/>
    <x:col min="12" max="12" width="16" hidden="0" customWidth="1"/>
  </x:cols>
  <x:sheetData>
    <x:row r="1">
      <x:c r="A1" s="6" t="str">
        <x:v>subcatchment_id</x:v>
      </x:c>
      <x:c r="B1" s="6" t="str">
        <x:v>drains_to</x:v>
      </x:c>
      <x:c r="C1" s="6" t="str">
        <x:v>land_use</x:v>
      </x:c>
      <x:c r="D1" s="6" t="str">
        <x:v>area_acres</x:v>
      </x:c>
      <x:c r="E1" s="6" t="str">
        <x:v>runoff_coefficient_C</x:v>
      </x:c>
      <x:c r="F1" s="6" t="str">
        <x:v>time_of_concentration_min</x:v>
      </x:c>
      <x:c r="G1" s="6" t="str">
        <x:v>impervious_percent</x:v>
      </x:c>
      <x:c r="H1" s="6" t="str">
        <x:v>source</x:v>
      </x:c>
      <x:c r="I1" s="6" t="str">
        <x:v>status</x:v>
      </x:c>
      <x:c r="J1" s="6" t="str">
        <x:v>notes</x:v>
      </x:c>
      <x:c r="K1" s="6" t="str">
        <x:v>peak_Q_cfs_25yr</x:v>
      </x:c>
      <x:c r="L1" s="6" t="str">
        <x:v>data_flag</x:v>
      </x:c>
    </x:row>
    <x:row r="2">
      <x:c r="A2" s="12" t="str">
        <x:v>B1</x:v>
      </x:c>
      <x:c r="B2" s="12" t="str">
        <x:v>CB-1</x:v>
      </x:c>
      <x:c r="C2" s="12" t="str">
        <x:v>single-family residential</x:v>
      </x:c>
      <x:c r="D2" s="12" t="n">
        <x:v>2.1</x:v>
      </x:c>
      <x:c r="E2" s="12" t="n">
        <x:v>0.46</x:v>
      </x:c>
      <x:c r="F2" s="12" t="n">
        <x:v>12</x:v>
      </x:c>
      <x:c r="G2" s="12" t="n">
        <x:v>42</x:v>
      </x:c>
      <x:c r="H2" s="12" t="str">
        <x:v>Survey drainage map polygons</x:v>
      </x:c>
      <x:c r="I2" s="12" t="str">
        <x:v>AVAILABLE</x:v>
      </x:c>
      <x:c r="J2" s="12" t="str">
        <x:v>Northwest residential lots and shoulder flow.</x:v>
      </x:c>
      <x:c r="K2" s="12" t="n">
        <x:f>D2*E2*Inputs!$B$4</x:f>
        <x:v>2.8129920000000004</x:v>
      </x:c>
      <x:c r="L2" s="12" t="str">
        <x:f>IF(D2="","OPEN_ITEM","OK")</x:f>
        <x:v>OK</x:v>
      </x:c>
    </x:row>
    <x:row r="3">
      <x:c r="A3" s="12" t="str">
        <x:v>B2</x:v>
      </x:c>
      <x:c r="B3" s="12" t="str">
        <x:v>CB-1</x:v>
      </x:c>
      <x:c r="C3" s="12" t="str">
        <x:v>older commercial frontage</x:v>
      </x:c>
      <x:c r="D3" s="12"/>
      <x:c r="E3" s="12" t="n">
        <x:v>0.72</x:v>
      </x:c>
      <x:c r="F3" s="12" t="n">
        <x:v>10</x:v>
      </x:c>
      <x:c r="G3" s="12" t="n">
        <x:v>78</x:v>
      </x:c>
      <x:c r="H3" s="12" t="str">
        <x:v>Derived from total area minus other mapped areas</x:v>
      </x:c>
      <x:c r="I3" s="12" t="str">
        <x:v>MISSING_AREA</x:v>
      </x:c>
      <x:c r="J3" s="12" t="str">
        <x:v>Area intentionally blank in source plan; must be derived.</x:v>
      </x:c>
      <x:c r="K3" s="12" t="n">
        <x:f>D3*E3*Inputs!$B$4</x:f>
        <x:v>0</x:v>
      </x:c>
      <x:c r="L3" s="12" t="str">
        <x:f>IF(D3="","OPEN_ITEM","OK")</x:f>
        <x:v>OPEN_ITEM</x:v>
      </x:c>
    </x:row>
    <x:row r="4">
      <x:c r="A4" s="12" t="str">
        <x:v>B3</x:v>
      </x:c>
      <x:c r="B4" s="12" t="str">
        <x:v>MH-2</x:v>
      </x:c>
      <x:c r="C4" s="12" t="str">
        <x:v>school access drive</x:v>
      </x:c>
      <x:c r="D4" s="12" t="n">
        <x:v>2.75</x:v>
      </x:c>
      <x:c r="E4" s="12" t="n">
        <x:v>0.68</x:v>
      </x:c>
      <x:c r="F4" s="12" t="n">
        <x:v>11</x:v>
      </x:c>
      <x:c r="G4" s="12" t="n">
        <x:v>70</x:v>
      </x:c>
      <x:c r="H4" s="12" t="str">
        <x:v>Survey drainage map polygons</x:v>
      </x:c>
      <x:c r="I4" s="12" t="str">
        <x:v>AVAILABLE</x:v>
      </x:c>
      <x:c r="J4" s="12" t="str">
        <x:v>Impervious drive and parking apron.</x:v>
      </x:c>
      <x:c r="K4" s="12" t="n">
        <x:f>D4*E4*Inputs!$B$4</x:f>
        <x:v>5.4454400000000005</x:v>
      </x:c>
      <x:c r="L4" s="12" t="str">
        <x:f>IF(D4="","OPEN_ITEM","OK")</x:f>
        <x:v>OK</x:v>
      </x:c>
    </x:row>
    <x:row r="5">
      <x:c r="A5" s="12" t="str">
        <x:v>B4</x:v>
      </x:c>
      <x:c r="B5" s="12" t="str">
        <x:v>CB-3</x:v>
      </x:c>
      <x:c r="C5" s="12" t="str">
        <x:v>roadway sag and sidewalk</x:v>
      </x:c>
      <x:c r="D5" s="12" t="n">
        <x:v>3.05</x:v>
      </x:c>
      <x:c r="E5" s="12" t="n">
        <x:v>0.88</x:v>
      </x:c>
      <x:c r="F5" s="12" t="n">
        <x:v>8</x:v>
      </x:c>
      <x:c r="G5" s="12" t="n">
        <x:v>92</x:v>
      </x:c>
      <x:c r="H5" s="12" t="str">
        <x:v>Survey drainage map polygons</x:v>
      </x:c>
      <x:c r="I5" s="12" t="str">
        <x:v>AVAILABLE</x:v>
      </x:c>
      <x:c r="J5" s="12" t="str">
        <x:v>Highest C; directly impacts sag flooding.</x:v>
      </x:c>
      <x:c r="K5" s="12" t="n">
        <x:f>D5*E5*Inputs!$B$4</x:f>
        <x:v>7.815807999999999</x:v>
      </x:c>
      <x:c r="L5" s="12" t="str">
        <x:f>IF(D5="","OPEN_ITEM","OK")</x:f>
        <x:v>OK</x:v>
      </x:c>
    </x:row>
    <x:row r="6">
      <x:c r="A6" s="12" t="str">
        <x:v>B5</x:v>
      </x:c>
      <x:c r="B6" s="12" t="str">
        <x:v>OUT-1</x:v>
      </x:c>
      <x:c r="C6" s="12" t="str">
        <x:v>open space and shallow swale</x:v>
      </x:c>
      <x:c r="D6" s="12" t="n">
        <x:v>1.4</x:v>
      </x:c>
      <x:c r="E6" s="12" t="n">
        <x:v>0.35</x:v>
      </x:c>
      <x:c r="F6" s="12" t="n">
        <x:v>18</x:v>
      </x:c>
      <x:c r="G6" s="12" t="n">
        <x:v>18</x:v>
      </x:c>
      <x:c r="H6" s="12" t="str">
        <x:v>Survey drainage map polygons</x:v>
      </x:c>
      <x:c r="I6" s="12" t="str">
        <x:v>AVAILABLE</x:v>
      </x:c>
      <x:c r="J6" s="12" t="str">
        <x:v>Contributes near outfall during larger storms.</x:v>
      </x:c>
      <x:c r="K6" s="12" t="n">
        <x:f>D6*E6*Inputs!$B$4</x:f>
        <x:v>1.4268799999999997</x:v>
      </x:c>
      <x:c r="L6" s="12" t="str">
        <x:f>IF(D6="","OPEN_ITEM","OK")</x:f>
        <x:v>OK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4" t="str">
        <x:v>Total contributing area from signed survey</x:v>
      </x:c>
      <x:c r="B9" s="14" t="n">
        <x:v>11.4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4" t="str">
        <x:v>Derived B2 area formula</x:v>
      </x:c>
      <x:c r="B10" s="14" t="n">
        <x:f>B9-SUM(D2,D4:D6)</x:f>
        <x:v>2.1000000000000014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</x:sheetData>
  <x:pageMargins left="0.7" right="0.7" top="0.75" bottom="0.75" header="0.3" footer="0.3"/>
  <x:tableParts count="1">
    <x:tablePart xmlns:r="http://schemas.openxmlformats.org/officeDocument/2006/relationships" r:id="R9593bf11a6a642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82" hidden="0" customWidth="1"/>
  </x:cols>
  <x:sheetData>
    <x:row r="1">
      <x:c r="A1" s="6" t="str">
        <x:v>input_name</x:v>
      </x:c>
      <x:c r="B1" s="6" t="str">
        <x:v>value</x:v>
      </x:c>
    </x:row>
    <x:row r="2">
      <x:c r="A2" s="12" t="str">
        <x:v>NOAA 25-year 15-min depth, inches</x:v>
      </x:c>
      <x:c r="B2" s="12" t="n">
        <x:v>0.728</x:v>
      </x:c>
    </x:row>
    <x:row r="3">
      <x:c r="A3" s="12" t="str">
        <x:v>Duration, hours</x:v>
      </x:c>
      <x:c r="B3" s="12" t="n">
        <x:v>0.25</x:v>
      </x:c>
    </x:row>
    <x:row r="4">
      <x:c r="A4" s="12" t="str">
        <x:v>Rainfall intensity, in/hr</x:v>
      </x:c>
      <x:c r="B4" s="12" t="n">
        <x:f>B2/B3</x:f>
        <x:v>2.912</x:v>
      </x:c>
    </x:row>
    <x:row r="5">
      <x:c r="A5" s="12" t="str">
        <x:v>Legacy 10-year intensity from preliminary workbook, in/hr</x:v>
      </x:c>
      <x:c r="B5" s="12" t="n">
        <x:v>2.2</x:v>
      </x:c>
    </x:row>
    <x:row r="6">
      <x:c r="A6" s="12" t="str">
        <x:v>County current storm basis</x:v>
      </x:c>
      <x:c r="B6" s="12" t="str">
        <x:v>25-year 15-minute NOAA Atlas 14</x:v>
      </x:c>
    </x:row>
    <x:row r="7">
      <x:c r="A7" s="12" t="str">
        <x:v>NOAA lookup URL</x:v>
      </x:c>
      <x:c r="B7" s="12" t="str">
        <x:v>https://hdsc.nws.noaa.gov/cgi-bin/new/cgi_readH5.py?data=depth&amp;lat=37.4000&amp;lon=-119.2000&amp;series=pds&amp;type=pf&amp;units=english</x:v>
      </x:c>
    </x:row>
  </x:sheetData>
  <x:pageMargins left="0.7" right="0.7" top="0.75" bottom="0.75" header="0.3" footer="0.3"/>
  <x:tableParts count="1">
    <x:tablePart xmlns:r="http://schemas.openxmlformats.org/officeDocument/2006/relationships" r:id="R6675a69e051a48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8" hidden="0" customWidth="1"/>
    <x:col min="5" max="5" width="20" hidden="0" customWidth="1"/>
    <x:col min="6" max="6" width="48" hidden="0" customWidth="1"/>
  </x:cols>
  <x:sheetData>
    <x:row r="1">
      <x:c r="A1" s="6" t="str">
        <x:v>node</x:v>
      </x:c>
      <x:c r="B1" s="6" t="str">
        <x:v>contributing_subcatchments</x:v>
      </x:c>
      <x:c r="C1" s="6" t="str">
        <x:v>area_acres</x:v>
      </x:c>
      <x:c r="D1" s="6" t="str">
        <x:v>weighted_C</x:v>
      </x:c>
      <x:c r="E1" s="6" t="str">
        <x:v>peak_Q_cfs_25yr</x:v>
      </x:c>
      <x:c r="F1" s="6" t="str">
        <x:v>note</x:v>
      </x:c>
    </x:row>
    <x:row r="2">
      <x:c r="A2" s="12" t="str">
        <x:v>CB-1</x:v>
      </x:c>
      <x:c r="B2" s="12" t="str">
        <x:v>B1+B2</x:v>
      </x:c>
      <x:c r="C2" s="12" t="n">
        <x:f>SUM(Subcatchments!D2:D3)</x:f>
        <x:v>2.1</x:v>
      </x:c>
      <x:c r="D2" s="12" t="n">
        <x:f>SUMPRODUCT(Subcatchments!D2:D3,Subcatchments!E2:E3)/C2</x:f>
        <x:v>0.46</x:v>
      </x:c>
      <x:c r="E2" s="12" t="n">
        <x:f>C2*D2*Inputs!$B$4</x:f>
        <x:v>2.8129920000000004</x:v>
      </x:c>
      <x:c r="F2" s="12" t="str">
        <x:v>B2 area must be derived before final design.</x:v>
      </x:c>
    </x:row>
    <x:row r="3">
      <x:c r="A3" s="12" t="str">
        <x:v>MH-2</x:v>
      </x:c>
      <x:c r="B3" s="12" t="str">
        <x:v>B1+B2+B3</x:v>
      </x:c>
      <x:c r="C3" s="12" t="n">
        <x:f>SUM(Subcatchments!D2:D4)</x:f>
        <x:v>4.85</x:v>
      </x:c>
      <x:c r="D3" s="12" t="n">
        <x:f>SUMPRODUCT(Subcatchments!D2:D4,Subcatchments!E2:E4)/C3</x:f>
        <x:v>0.5847422680412372</x:v>
      </x:c>
      <x:c r="E3" s="12" t="n">
        <x:f>C3*D3*Inputs!$B$4</x:f>
        <x:v>8.258432</x:v>
      </x:c>
      <x:c r="F3" s="12" t="str">
        <x:v>Cumulative upstream flow.</x:v>
      </x:c>
    </x:row>
    <x:row r="4">
      <x:c r="A4" s="12" t="str">
        <x:v>MH-3</x:v>
      </x:c>
      <x:c r="B4" s="12" t="str">
        <x:v>B1+B2+B3</x:v>
      </x:c>
      <x:c r="C4" s="12" t="n">
        <x:f>C3</x:f>
        <x:v>4.85</x:v>
      </x:c>
      <x:c r="D4" s="12" t="n">
        <x:f>D3</x:f>
        <x:v>0.5847422680412372</x:v>
      </x:c>
      <x:c r="E4" s="12" t="n">
        <x:f>E3</x:f>
        <x:v>8.258432</x:v>
      </x:c>
      <x:c r="F4" s="12" t="str">
        <x:v>No new area between MH-2 and MH-3.</x:v>
      </x:c>
    </x:row>
    <x:row r="5">
      <x:c r="A5" s="12" t="str">
        <x:v>CB-3</x:v>
      </x:c>
      <x:c r="B5" s="12" t="str">
        <x:v>B1+B2+B3+B4</x:v>
      </x:c>
      <x:c r="C5" s="12" t="n">
        <x:f>SUM(Subcatchments!D2:D5)</x:f>
        <x:v>7.8999999999999995</x:v>
      </x:c>
      <x:c r="D5" s="12" t="n">
        <x:f>SUMPRODUCT(Subcatchments!D2:D5,Subcatchments!E2:E5)/C5</x:f>
        <x:v>0.6987341772151898</x:v>
      </x:c>
      <x:c r="E5" s="12" t="n">
        <x:f>C5*D5*Inputs!$B$4</x:f>
        <x:v>16.07424</x:v>
      </x:c>
      <x:c r="F5" s="12" t="str">
        <x:v>Roadway sag check point.</x:v>
      </x:c>
    </x:row>
    <x:row r="6">
      <x:c r="A6" s="12" t="str">
        <x:v>OUT-1</x:v>
      </x:c>
      <x:c r="B6" s="12" t="str">
        <x:v>B1+B2+B3+B4+B5</x:v>
      </x:c>
      <x:c r="C6" s="12" t="n">
        <x:f>SUM(Subcatchments!D2:D6)</x:f>
        <x:v>9.299999999999999</x:v>
      </x:c>
      <x:c r="D6" s="12" t="n">
        <x:f>SUMPRODUCT(Subcatchments!D2:D6,Subcatchments!E2:E6)/C6</x:f>
        <x:v>0.646236559139785</x:v>
      </x:c>
      <x:c r="E6" s="12" t="n">
        <x:f>C6*D6*Inputs!$B$4</x:f>
        <x:v>17.501119999999997</x:v>
      </x:c>
      <x:c r="F6" s="12" t="str">
        <x:v>Outfall and culvert screening point.</x:v>
      </x:c>
    </x:row>
  </x:sheetData>
  <x:pageMargins left="0.7" right="0.7" top="0.75" bottom="0.75" header="0.3" footer="0.3"/>
  <x:tableParts count="1">
    <x:tablePart xmlns:r="http://schemas.openxmlformats.org/officeDocument/2006/relationships" r:id="Rd7c5ce3d9f5c4caa"/>
  </x:tableParts>
</x:worksheet>
</file>