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bcf4ef4df4c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ternatives" sheetId="1" r:id="Rc847d5d324764f45"/>
    <x:sheet xmlns:r="http://schemas.openxmlformats.org/officeDocument/2006/relationships" name="Unit_Cost_Detail" sheetId="2" r:id="R79119155063047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2183e0e0014354" /><Relationship Type="http://schemas.openxmlformats.org/officeDocument/2006/relationships/theme" Target="/xl/theme/theme1.xml" Id="R63c84d4775524225" /><Relationship Type="http://schemas.openxmlformats.org/officeDocument/2006/relationships/sharedStrings" Target="/xl/sharedStrings.xml" Id="R9413c55fdeaf48c9" /><Relationship Type="http://schemas.openxmlformats.org/officeDocument/2006/relationships/worksheet" Target="/xl/worksheets/sheet1.xml" Id="Rc847d5d324764f45" /><Relationship Type="http://schemas.openxmlformats.org/officeDocument/2006/relationships/worksheet" Target="/xl/worksheets/sheet2.xml" Id="R7911915506304762" /></Relationships>
</file>

<file path=xl/tables/table1.xml><?xml version="1.0" encoding="utf-8"?>
<x:table xmlns:x="http://schemas.openxmlformats.org/spreadsheetml/2006/main" id="1" name="AlternativesTable" displayName="AlternativesTable" ref="A1:N5" headerRowCount="1">
  <x:tableColumns count="14">
    <x:tableColumn id="1" name="alternative"/>
    <x:tableColumn id="2" name="description"/>
    <x:tableColumn id="3" name="primary_scope"/>
    <x:tableColumn id="4" name="hydraulic_result_25yr"/>
    <x:tableColumn id="5" name="construction_cost_usd"/>
    <x:tableColumn id="6" name="contingency_percent"/>
    <x:tableColumn id="7" name="total_budget_basis_usd"/>
    <x:tableColumn id="8" name="full_closure_days"/>
    <x:tableColumn id="9" name="easement_status"/>
    <x:tableColumn id="10" name="permit_readiness"/>
    <x:tableColumn id="11" name="outfall_in_channel_work"/>
    <x:tableColumn id="12" name="owner_preference"/>
    <x:tableColumn id="13" name="mandatory_screen_result"/>
    <x:tableColumn id="14" name="screen_note"/>
  </x:tableColumns>
  <x:tableStyleInfo name="TableStyleMedium2" showRowStripes="1"/>
</x:table>
</file>

<file path=xl/tables/table2.xml><?xml version="1.0" encoding="utf-8"?>
<x:table xmlns:x="http://schemas.openxmlformats.org/spreadsheetml/2006/main" id="2" name="UnitCostDetailTable" displayName="UnitCostDetailTable" ref="A1:I11" headerRowCount="1">
  <x:tableColumns count="9">
    <x:tableColumn id="1" name="alternative"/>
    <x:tableColumn id="2" name="bid_item"/>
    <x:tableColumn id="3" name="quantity"/>
    <x:tableColumn id="4" name="unit"/>
    <x:tableColumn id="5" name="unit_cost_usd"/>
    <x:tableColumn id="6" name="line_total_usd"/>
    <x:tableColumn id="7" name="source"/>
    <x:tableColumn id="8" name="risk_note"/>
    <x:tableColumn id="9" name="included_in_base_cost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1e6aed8d3a44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91c6a2add34428a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42" hidden="0" customWidth="1"/>
    <x:col min="4" max="4" width="42" hidden="0" customWidth="1"/>
    <x:col min="5" max="5" width="18" hidden="0" customWidth="1"/>
    <x:col min="6" max="6" width="18" hidden="0" customWidth="1"/>
    <x:col min="7" max="7" width="20" hidden="0" customWidth="1"/>
    <x:col min="8" max="8" width="17" hidden="0" customWidth="1"/>
    <x:col min="9" max="9" width="20" hidden="0" customWidth="1"/>
    <x:col min="10" max="10" width="24" hidden="0" customWidth="1"/>
    <x:col min="11" max="11" width="20" hidden="0" customWidth="1"/>
    <x:col min="12" max="12" width="18" hidden="0" customWidth="1"/>
    <x:col min="13" max="13" width="24" hidden="0" customWidth="1"/>
    <x:col min="14" max="14" width="48" hidden="0" customWidth="1"/>
  </x:cols>
  <x:sheetData>
    <x:row r="1">
      <x:c r="A1" s="6" t="str">
        <x:v>alternative</x:v>
      </x:c>
      <x:c r="B1" s="6" t="str">
        <x:v>description</x:v>
      </x:c>
      <x:c r="C1" s="6" t="str">
        <x:v>primary_scope</x:v>
      </x:c>
      <x:c r="D1" s="6" t="str">
        <x:v>hydraulic_result_25yr</x:v>
      </x:c>
      <x:c r="E1" s="6" t="str">
        <x:v>construction_cost_usd</x:v>
      </x:c>
      <x:c r="F1" s="6" t="str">
        <x:v>contingency_percent</x:v>
      </x:c>
      <x:c r="G1" s="6" t="str">
        <x:v>total_budget_basis_usd</x:v>
      </x:c>
      <x:c r="H1" s="6" t="str">
        <x:v>full_closure_days</x:v>
      </x:c>
      <x:c r="I1" s="6" t="str">
        <x:v>easement_status</x:v>
      </x:c>
      <x:c r="J1" s="6" t="str">
        <x:v>permit_readiness</x:v>
      </x:c>
      <x:c r="K1" s="6" t="str">
        <x:v>outfall_in_channel_work</x:v>
      </x:c>
      <x:c r="L1" s="6" t="str">
        <x:v>owner_preference</x:v>
      </x:c>
      <x:c r="M1" s="6" t="str">
        <x:v>mandatory_screen_result</x:v>
      </x:c>
      <x:c r="N1" s="6" t="str">
        <x:v>screen_note</x:v>
      </x:c>
    </x:row>
    <x:row r="2">
      <x:c r="A2" s="12" t="str">
        <x:v>A</x:v>
      </x:c>
      <x:c r="B2" s="12" t="str">
        <x:v>Upsize P-3 and P-4 to 36-inch RCP</x:v>
      </x:c>
      <x:c r="C2" s="12" t="str">
        <x:v>Replace 364 ft pipe and reconstruct CB-3 throat</x:v>
      </x:c>
      <x:c r="D2" s="12" t="str">
        <x:v>Passes pipe capacity and HGL after replacement</x:v>
      </x:c>
      <x:c r="E2" s="14" t="n">
        <x:v>575000</x:v>
      </x:c>
      <x:c r="F2" s="12" t="n">
        <x:v>0.15</x:v>
      </x:c>
      <x:c r="G2" s="14" t="n">
        <x:f>E2*(1+F2)</x:f>
        <x:v>661250</x:v>
      </x:c>
      <x:c r="H2" s="12" t="n">
        <x:v>7</x:v>
      </x:c>
      <x:c r="I2" s="12" t="str">
        <x:v>Within ROW</x:v>
      </x:c>
      <x:c r="J2" s="12" t="str">
        <x:v>Ready</x:v>
      </x:c>
      <x:c r="K2" s="12" t="str">
        <x:v>No</x:v>
      </x:c>
      <x:c r="L2" s="12" t="str">
        <x:v>High</x:v>
      </x:c>
      <x:c r="M2" s="12" t="str">
        <x:v>FAIL</x:v>
      </x:c>
      <x:c r="N2" s="12" t="str">
        <x:v>Fails budget and closure cap.</x:v>
      </x:c>
    </x:row>
    <x:row r="3">
      <x:c r="A3" s="12" t="str">
        <x:v>B</x:v>
      </x:c>
      <x:c r="B3" s="12" t="str">
        <x:v>Clean and line existing P-2/P-3/P-4</x:v>
      </x:c>
      <x:c r="C3" s="12" t="str">
        <x:v>Jet clean, CCTV, CIPP lining</x:v>
      </x:c>
      <x:c r="D3" s="12" t="str">
        <x:v>Fails HGL at CB-3; limited capacity gain</x:v>
      </x:c>
      <x:c r="E3" s="14" t="n">
        <x:v>246000</x:v>
      </x:c>
      <x:c r="F3" s="12" t="n">
        <x:v>0.12</x:v>
      </x:c>
      <x:c r="G3" s="14" t="n">
        <x:f>E3*(1+F3)</x:f>
        <x:v>275520</x:v>
      </x:c>
      <x:c r="H3" s="12" t="n">
        <x:v>2</x:v>
      </x:c>
      <x:c r="I3" s="12" t="str">
        <x:v>Within ROW</x:v>
      </x:c>
      <x:c r="J3" s="12" t="str">
        <x:v>Ready</x:v>
      </x:c>
      <x:c r="K3" s="12" t="str">
        <x:v>No</x:v>
      </x:c>
      <x:c r="L3" s="12" t="str">
        <x:v>Medium</x:v>
      </x:c>
      <x:c r="M3" s="12" t="str">
        <x:v>FAIL</x:v>
      </x:c>
      <x:c r="N3" s="12" t="str">
        <x:v>Fails hydraulic adequacy.</x:v>
      </x:c>
    </x:row>
    <x:row r="4">
      <x:c r="A4" s="12" t="str">
        <x:v>C</x:v>
      </x:c>
      <x:c r="B4" s="12" t="str">
        <x:v>Detention basin with outfall apron work</x:v>
      </x:c>
      <x:c r="C4" s="12" t="str">
        <x:v>Construct upstream detention and modify Willow Branch apron</x:v>
      </x:c>
      <x:c r="D4" s="12" t="str">
        <x:v>Passes after storage; culvert tailwater unresolved</x:v>
      </x:c>
      <x:c r="E4" s="14" t="n">
        <x:v>492000</x:v>
      </x:c>
      <x:c r="F4" s="12" t="n">
        <x:v>0.15</x:v>
      </x:c>
      <x:c r="G4" s="14" t="n">
        <x:f>E4*(1+F4)</x:f>
        <x:v>565800</x:v>
      </x:c>
      <x:c r="H4" s="12" t="n">
        <x:v>4</x:v>
      </x:c>
      <x:c r="I4" s="12" t="str">
        <x:v>Easement pending</x:v>
      </x:c>
      <x:c r="J4" s="12" t="str">
        <x:v>Permit pending</x:v>
      </x:c>
      <x:c r="K4" s="12" t="str">
        <x:v>Yes</x:v>
      </x:c>
      <x:c r="L4" s="12" t="str">
        <x:v>Medium</x:v>
      </x:c>
      <x:c r="M4" s="12" t="str">
        <x:v>FAIL</x:v>
      </x:c>
      <x:c r="N4" s="12" t="str">
        <x:v>Fails easement and permit readiness.</x:v>
      </x:c>
    </x:row>
    <x:row r="5">
      <x:c r="A5" s="12" t="str">
        <x:v>D</x:v>
      </x:c>
      <x:c r="B5" s="12" t="str">
        <x:v>Targeted P-3 replacement and CB-3 inlet upgrade</x:v>
      </x:c>
      <x:c r="C5" s="12" t="str">
        <x:v>Replace P-3 with 30-inch RCP, rebuild CB-3 throat, clean P-4 and outfall</x:v>
      </x:c>
      <x:c r="D5" s="12" t="str">
        <x:v>Passes pipe capacity; culvert screening conditional on tailwater verification</x:v>
      </x:c>
      <x:c r="E5" s="14" t="n">
        <x:v>438000</x:v>
      </x:c>
      <x:c r="F5" s="12" t="n">
        <x:v>0.12</x:v>
      </x:c>
      <x:c r="G5" s="14" t="n">
        <x:f>E5*(1+F5)</x:f>
        <x:v>490560.00000000006</x:v>
      </x:c>
      <x:c r="H5" s="12" t="n">
        <x:v>5</x:v>
      </x:c>
      <x:c r="I5" s="12" t="str">
        <x:v>Within ROW</x:v>
      </x:c>
      <x:c r="J5" s="12" t="str">
        <x:v>Ready with tailwater open item</x:v>
      </x:c>
      <x:c r="K5" s="12" t="str">
        <x:v>Yes</x:v>
      </x:c>
      <x:c r="L5" s="12" t="str">
        <x:v>High</x:v>
      </x:c>
      <x:c r="M5" s="12" t="str">
        <x:v>CONDITIONAL</x:v>
      </x:c>
      <x:c r="N5" s="12" t="str">
        <x:v>Meets budget and closure; final design requires tailwater confirmation.</x:v>
      </x:c>
    </x:row>
  </x:sheetData>
  <x:pageMargins left="0.7" right="0.7" top="0.75" bottom="0.75" header="0.3" footer="0.3"/>
  <x:tableParts count="1">
    <x:tablePart xmlns:r="http://schemas.openxmlformats.org/officeDocument/2006/relationships" r:id="R041e6aed8d3a44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12" hidden="0" customWidth="1"/>
    <x:col min="4" max="4" width="10" hidden="0" customWidth="1"/>
    <x:col min="5" max="5" width="16" hidden="0" customWidth="1"/>
    <x:col min="6" max="6" width="16" hidden="0" customWidth="1"/>
    <x:col min="7" max="7" width="30" hidden="0" customWidth="1"/>
    <x:col min="8" max="8" width="42" hidden="0" customWidth="1"/>
    <x:col min="9" max="9" width="18" hidden="0" customWidth="1"/>
  </x:cols>
  <x:sheetData>
    <x:row r="1">
      <x:c r="A1" s="6" t="str">
        <x:v>alternative</x:v>
      </x:c>
      <x:c r="B1" s="6" t="str">
        <x:v>bid_item</x:v>
      </x:c>
      <x:c r="C1" s="6" t="str">
        <x:v>quantity</x:v>
      </x:c>
      <x:c r="D1" s="6" t="str">
        <x:v>unit</x:v>
      </x:c>
      <x:c r="E1" s="6" t="str">
        <x:v>unit_cost_usd</x:v>
      </x:c>
      <x:c r="F1" s="6" t="str">
        <x:v>line_total_usd</x:v>
      </x:c>
      <x:c r="G1" s="6" t="str">
        <x:v>source</x:v>
      </x:c>
      <x:c r="H1" s="6" t="str">
        <x:v>risk_note</x:v>
      </x:c>
      <x:c r="I1" s="6" t="str">
        <x:v>included_in_base_cost</x:v>
      </x:c>
    </x:row>
    <x:row r="2">
      <x:c r="A2" s="12" t="str">
        <x:v>A</x:v>
      </x:c>
      <x:c r="B2" s="12" t="str">
        <x:v>36-inch RCP installed</x:v>
      </x:c>
      <x:c r="C2" s="12" t="n">
        <x:v>364</x:v>
      </x:c>
      <x:c r="D2" s="12" t="str">
        <x:v>lf</x:v>
      </x:c>
      <x:c r="E2" s="14" t="n">
        <x:v>850</x:v>
      </x:c>
      <x:c r="F2" s="14" t="n">
        <x:f>C2*E2</x:f>
        <x:v>309400</x:v>
      </x:c>
      <x:c r="G2" s="12" t="str">
        <x:v>Estimator quote EQ-26-OMR-A</x:v>
      </x:c>
      <x:c r="H2" s="12" t="str">
        <x:v>Deep utility conflict allowance excluded.</x:v>
      </x:c>
      <x:c r="I2" s="12" t="n">
        <x:v>1</x:v>
      </x:c>
    </x:row>
    <x:row r="3">
      <x:c r="A3" s="12" t="str">
        <x:v>A</x:v>
      </x:c>
      <x:c r="B3" s="12" t="str">
        <x:v>CB-3 reconstruction</x:v>
      </x:c>
      <x:c r="C3" s="12" t="n">
        <x:v>1</x:v>
      </x:c>
      <x:c r="D3" s="12" t="str">
        <x:v>ea</x:v>
      </x:c>
      <x:c r="E3" s="14" t="n">
        <x:v>64000</x:v>
      </x:c>
      <x:c r="F3" s="14" t="n">
        <x:f>C3*E3</x:f>
        <x:v>64000</x:v>
      </x:c>
      <x:c r="G3" s="12" t="str">
        <x:v>County bid tab average</x:v>
      </x:c>
      <x:c r="H3" s="12" t="str">
        <x:v>Requires full closure.</x:v>
      </x:c>
      <x:c r="I3" s="12" t="n">
        <x:v>1</x:v>
      </x:c>
    </x:row>
    <x:row r="4">
      <x:c r="A4" s="12" t="str">
        <x:v>A</x:v>
      </x:c>
      <x:c r="B4" s="12" t="str">
        <x:v>Traffic control</x:v>
      </x:c>
      <x:c r="C4" s="12" t="n">
        <x:v>7</x:v>
      </x:c>
      <x:c r="D4" s="12" t="str">
        <x:v>day</x:v>
      </x:c>
      <x:c r="E4" s="14" t="n">
        <x:v>8400</x:v>
      </x:c>
      <x:c r="F4" s="14" t="n">
        <x:f>C4*E4</x:f>
        <x:v>58800</x:v>
      </x:c>
      <x:c r="G4" s="12" t="str">
        <x:v>Traffic control schedule</x:v>
      </x:c>
      <x:c r="H4" s="12" t="str">
        <x:v>Exceeds closure cap.</x:v>
      </x:c>
      <x:c r="I4" s="12" t="n">
        <x:v>1</x:v>
      </x:c>
    </x:row>
    <x:row r="5">
      <x:c r="A5" s="12" t="str">
        <x:v>B</x:v>
      </x:c>
      <x:c r="B5" s="12" t="str">
        <x:v>Jet cleaning and CCTV</x:v>
      </x:c>
      <x:c r="C5" s="12" t="n">
        <x:v>498</x:v>
      </x:c>
      <x:c r="D5" s="12" t="str">
        <x:v>lf</x:v>
      </x:c>
      <x:c r="E5" s="14" t="n">
        <x:v>32</x:v>
      </x:c>
      <x:c r="F5" s="14" t="n">
        <x:f>C5*E5</x:f>
        <x:v>15936</x:v>
      </x:c>
      <x:c r="G5" s="12" t="str">
        <x:v>Maintenance contract</x:v>
      </x:c>
      <x:c r="H5" s="12" t="str">
        <x:v>Does not restore capacity enough.</x:v>
      </x:c>
      <x:c r="I5" s="12" t="n">
        <x:v>1</x:v>
      </x:c>
    </x:row>
    <x:row r="6">
      <x:c r="A6" s="12" t="str">
        <x:v>B</x:v>
      </x:c>
      <x:c r="B6" s="12" t="str">
        <x:v>CIPP lining</x:v>
      </x:c>
      <x:c r="C6" s="12" t="n">
        <x:v>498</x:v>
      </x:c>
      <x:c r="D6" s="12" t="str">
        <x:v>lf</x:v>
      </x:c>
      <x:c r="E6" s="14" t="n">
        <x:v>420</x:v>
      </x:c>
      <x:c r="F6" s="14" t="n">
        <x:f>C6*E6</x:f>
        <x:v>209160</x:v>
      </x:c>
      <x:c r="G6" s="12" t="str">
        <x:v>Vendor budget quote</x:v>
      </x:c>
      <x:c r="H6" s="12" t="str">
        <x:v>Lining reduces effective diameter.</x:v>
      </x:c>
      <x:c r="I6" s="12" t="n">
        <x:v>1</x:v>
      </x:c>
    </x:row>
    <x:row r="7">
      <x:c r="A7" s="12" t="str">
        <x:v>C</x:v>
      </x:c>
      <x:c r="B7" s="12" t="str">
        <x:v>Detention excavation</x:v>
      </x:c>
      <x:c r="C7" s="12" t="n">
        <x:v>4350</x:v>
      </x:c>
      <x:c r="D7" s="12" t="str">
        <x:v>cy</x:v>
      </x:c>
      <x:c r="E7" s="14" t="n">
        <x:v>48</x:v>
      </x:c>
      <x:c r="F7" s="14" t="n">
        <x:f>C7*E7</x:f>
        <x:v>208800</x:v>
      </x:c>
      <x:c r="G7" s="12" t="str">
        <x:v>Estimator quote EQ-26-OMR-C</x:v>
      </x:c>
      <x:c r="H7" s="12" t="str">
        <x:v>Requires private easement.</x:v>
      </x:c>
      <x:c r="I7" s="12" t="n">
        <x:v>1</x:v>
      </x:c>
    </x:row>
    <x:row r="8">
      <x:c r="A8" s="12" t="str">
        <x:v>C</x:v>
      </x:c>
      <x:c r="B8" s="12" t="str">
        <x:v>Outlet control structure</x:v>
      </x:c>
      <x:c r="C8" s="12" t="n">
        <x:v>1</x:v>
      </x:c>
      <x:c r="D8" s="12" t="str">
        <x:v>ea</x:v>
      </x:c>
      <x:c r="E8" s="14" t="n">
        <x:v>78000</x:v>
      </x:c>
      <x:c r="F8" s="14" t="n">
        <x:f>C8*E8</x:f>
        <x:v>78000</x:v>
      </x:c>
      <x:c r="G8" s="12" t="str">
        <x:v>Estimator quote EQ-26-OMR-C</x:v>
      </x:c>
      <x:c r="H8" s="12" t="str">
        <x:v>Permit pending.</x:v>
      </x:c>
      <x:c r="I8" s="12" t="n">
        <x:v>1</x:v>
      </x:c>
    </x:row>
    <x:row r="9">
      <x:c r="A9" s="12" t="str">
        <x:v>D</x:v>
      </x:c>
      <x:c r="B9" s="12" t="str">
        <x:v>30-inch RCP P-3 replacement</x:v>
      </x:c>
      <x:c r="C9" s="12" t="n">
        <x:v>200</x:v>
      </x:c>
      <x:c r="D9" s="12" t="str">
        <x:v>lf</x:v>
      </x:c>
      <x:c r="E9" s="14" t="n">
        <x:v>640</x:v>
      </x:c>
      <x:c r="F9" s="14" t="n">
        <x:f>C9*E9</x:f>
        <x:v>128000</x:v>
      </x:c>
      <x:c r="G9" s="12" t="str">
        <x:v>Estimator quote EQ-26-OMR-D</x:v>
      </x:c>
      <x:c r="H9" s="12" t="str">
        <x:v>Fits 5-day closure with double crew.</x:v>
      </x:c>
      <x:c r="I9" s="12" t="n">
        <x:v>1</x:v>
      </x:c>
    </x:row>
    <x:row r="10">
      <x:c r="A10" s="12" t="str">
        <x:v>D</x:v>
      </x:c>
      <x:c r="B10" s="12" t="str">
        <x:v>CB-3 throat reconstruction</x:v>
      </x:c>
      <x:c r="C10" s="12" t="n">
        <x:v>1</x:v>
      </x:c>
      <x:c r="D10" s="12" t="str">
        <x:v>ea</x:v>
      </x:c>
      <x:c r="E10" s="14" t="n">
        <x:v>52500</x:v>
      </x:c>
      <x:c r="F10" s="14" t="n">
        <x:f>C10*E10</x:f>
        <x:v>52500</x:v>
      </x:c>
      <x:c r="G10" s="12" t="str">
        <x:v>Estimator quote EQ-26-OMR-D</x:v>
      </x:c>
      <x:c r="H10" s="12" t="str">
        <x:v>Addresses sag inlet control.</x:v>
      </x:c>
      <x:c r="I10" s="12" t="n">
        <x:v>1</x:v>
      </x:c>
    </x:row>
    <x:row r="11">
      <x:c r="A11" s="12" t="str">
        <x:v>D</x:v>
      </x:c>
      <x:c r="B11" s="12" t="str">
        <x:v>P-4 cleaning and outfall debris removal</x:v>
      </x:c>
      <x:c r="C11" s="12" t="n">
        <x:v>222</x:v>
      </x:c>
      <x:c r="D11" s="12" t="str">
        <x:v>lf</x:v>
      </x:c>
      <x:c r="E11" s="14" t="n">
        <x:v>95</x:v>
      </x:c>
      <x:c r="F11" s="14" t="n">
        <x:f>C11*E11</x:f>
        <x:v>21090</x:v>
      </x:c>
      <x:c r="G11" s="12" t="str">
        <x:v>Maintenance and environmental pre-check</x:v>
      </x:c>
      <x:c r="H11" s="12" t="str">
        <x:v>Tailwater verification remains open.</x:v>
      </x:c>
      <x:c r="I11" s="12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91c6a2add34428a"/>
  </x:tableParts>
</x:worksheet>
</file>