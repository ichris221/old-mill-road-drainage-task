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aae7565254f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gacy_Assumptions" sheetId="1" r:id="R3606d0b805074767"/>
    <x:sheet xmlns:r="http://schemas.openxmlformats.org/officeDocument/2006/relationships" name="Legacy_Pipe_Capacity" sheetId="2" r:id="Rf907c743787d4f89"/>
    <x:sheet xmlns:r="http://schemas.openxmlformats.org/officeDocument/2006/relationships" name="Legacy_HGL" sheetId="3" r:id="Ree4305af17d3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0246bdcf7f4f1b" /><Relationship Type="http://schemas.openxmlformats.org/officeDocument/2006/relationships/theme" Target="/xl/theme/theme1.xml" Id="R52a59852d0374890" /><Relationship Type="http://schemas.openxmlformats.org/officeDocument/2006/relationships/sharedStrings" Target="/xl/sharedStrings.xml" Id="Rb4f0ab646d194d11" /><Relationship Type="http://schemas.openxmlformats.org/officeDocument/2006/relationships/worksheet" Target="/xl/worksheets/sheet1.xml" Id="R3606d0b805074767" /><Relationship Type="http://schemas.openxmlformats.org/officeDocument/2006/relationships/worksheet" Target="/xl/worksheets/sheet2.xml" Id="Rf907c743787d4f89" /><Relationship Type="http://schemas.openxmlformats.org/officeDocument/2006/relationships/worksheet" Target="/xl/worksheets/sheet3.xml" Id="Ree4305af17d345b3" /></Relationships>
</file>

<file path=xl/tables/table1.xml><?xml version="1.0" encoding="utf-8"?>
<x:table xmlns:x="http://schemas.openxmlformats.org/spreadsheetml/2006/main" id="1" name="LegacyAssumptionsTable" displayName="LegacyAssumptionsTable" ref="A1:E6" headerRowCount="1">
  <x:tableColumns count="5">
    <x:tableColumn id="1" name="assumption"/>
    <x:tableColumn id="2" name="legacy_value"/>
    <x:tableColumn id="3" name="unit"/>
    <x:tableColumn id="4" name="status"/>
    <x:tableColumn id="5" name="reason_to_reconcile"/>
  </x:tableColumns>
  <x:tableStyleInfo name="TableStyleMedium2" showRowStripes="1"/>
</x:table>
</file>

<file path=xl/tables/table2.xml><?xml version="1.0" encoding="utf-8"?>
<x:table xmlns:x="http://schemas.openxmlformats.org/spreadsheetml/2006/main" id="2" name="LegacyPipeCapacityTable" displayName="LegacyPipeCapacityTable" ref="A1:M5" headerRowCount="1">
  <x:tableColumns count="13">
    <x:tableColumn id="1" name="pipe"/>
    <x:tableColumn id="2" name="diameter_in"/>
    <x:tableColumn id="3" name="length_ft"/>
    <x:tableColumn id="4" name="upstream_invert_ft"/>
    <x:tableColumn id="5" name="downstream_invert_ft"/>
    <x:tableColumn id="6" name="slope"/>
    <x:tableColumn id="7" name="Manning_n"/>
    <x:tableColumn id="8" name="area_sqft"/>
    <x:tableColumn id="9" name="hydraulic_radius_ft"/>
    <x:tableColumn id="10" name="capacity_cfs"/>
    <x:tableColumn id="11" name="legacy_peak_Q_cfs"/>
    <x:tableColumn id="12" name="legacy_pass_fail"/>
    <x:tableColumn id="13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LegacyHGLTable" displayName="LegacyHGLTable" ref="A1:G6" headerRowCount="1">
  <x:tableColumns count="7">
    <x:tableColumn id="1" name="node"/>
    <x:tableColumn id="2" name="rim_or_gutter_ft"/>
    <x:tableColumn id="3" name="legacy_HGL_ft"/>
    <x:tableColumn id="4" name="legacy_clearance_ft"/>
    <x:tableColumn id="5" name="legacy_result"/>
    <x:tableColumn id="6" name="current_rule_check_needed"/>
    <x:tableColumn id="7" name="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379a8bb6c64b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f001f942e3449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812819889b4ad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15" hidden="0" customWidth="1"/>
    <x:col min="4" max="4" width="30" hidden="0" customWidth="1"/>
    <x:col min="5" max="5" width="65" hidden="0" customWidth="1"/>
  </x:cols>
  <x:sheetData>
    <x:row r="1">
      <x:c r="A1" s="6" t="str">
        <x:v>assumption</x:v>
      </x:c>
      <x:c r="B1" s="6" t="str">
        <x:v>legacy_value</x:v>
      </x:c>
      <x:c r="C1" s="6" t="str">
        <x:v>unit</x:v>
      </x:c>
      <x:c r="D1" s="6" t="str">
        <x:v>status</x:v>
      </x:c>
      <x:c r="E1" s="6" t="str">
        <x:v>reason_to_reconcile</x:v>
      </x:c>
    </x:row>
    <x:row r="2">
      <x:c r="A2" s="14" t="str">
        <x:v>Design storm basis</x:v>
      </x:c>
      <x:c r="B2" s="14" t="str">
        <x:v>10-year 15-minute</x:v>
      </x:c>
      <x:c r="C2" s="14" t="str">
        <x:v>storm</x:v>
      </x:c>
      <x:c r="D2" s="14" t="str">
        <x:v>SUPERSEDED</x:v>
      </x:c>
      <x:c r="E2" s="14" t="str">
        <x:v>Current authority hierarchy requires 25-year 15-minute NOAA Atlas 14.</x:v>
      </x:c>
    </x:row>
    <x:row r="3">
      <x:c r="A3" s="14" t="str">
        <x:v>Legacy rainfall intensity</x:v>
      </x:c>
      <x:c r="B3" s="14" t="n">
        <x:v>2.2</x:v>
      </x:c>
      <x:c r="C3" s="14" t="str">
        <x:v>in/hr</x:v>
      </x:c>
      <x:c r="D3" s="14" t="str">
        <x:v>SUPERSEDED</x:v>
      </x:c>
      <x:c r="E3" s="14" t="str">
        <x:v>Intensity must be replaced with NOAA Atlas 14 25-year 15-minute intensity.</x:v>
      </x:c>
    </x:row>
    <x:row r="4">
      <x:c r="A4" s="14" t="str">
        <x:v>Generic RCP Manning n</x:v>
      </x:c>
      <x:c r="B4" s="14" t="n">
        <x:v>0.012</x:v>
      </x:c>
      <x:c r="C4" s="14" t="str">
        <x:v>dimensionless</x:v>
      </x:c>
      <x:c r="D4" s="14" t="str">
        <x:v>SUPERSEDED_FOR_EXISTING_P2_P3</x:v>
      </x:c>
      <x:c r="E4" s="14" t="str">
        <x:v>Inspection notes require condition-based roughness.</x:v>
      </x:c>
    </x:row>
    <x:row r="5">
      <x:c r="A5" s="14" t="str">
        <x:v>P-3 downstream invert</x:v>
      </x:c>
      <x:c r="B5" s="14" t="n">
        <x:v>211.92</x:v>
      </x:c>
      <x:c r="C5" s="14" t="str">
        <x:v>ft</x:v>
      </x:c>
      <x:c r="D5" s="14" t="str">
        <x:v>SUPERSEDED</x:v>
      </x:c>
      <x:c r="E5" s="14" t="str">
        <x:v>Field survey markup gives 211.52 ft at CB-3.</x:v>
      </x:c>
    </x:row>
    <x:row r="6">
      <x:c r="A6" s="14" t="str">
        <x:v>Culvert headwater criterion</x:v>
      </x:c>
      <x:c r="B6" s="14" t="str">
        <x:v>HW/D &lt;= 1.20</x:v>
      </x:c>
      <x:c r="C6" s="14" t="str">
        <x:v>ratio</x:v>
      </x:c>
      <x:c r="D6" s="14" t="str">
        <x:v>SUPERSEDED</x:v>
      </x:c>
      <x:c r="E6" s="14" t="str">
        <x:v>Current authority hierarchy requires no roadway overtopping and HGL clearance.</x:v>
      </x:c>
    </x:row>
  </x:sheetData>
  <x:pageMargins left="0.7" right="0.7" top="0.75" bottom="0.75" header="0.3" footer="0.3"/>
  <x:tableParts count="1">
    <x:tablePart xmlns:r="http://schemas.openxmlformats.org/officeDocument/2006/relationships" r:id="R21379a8bb6c64b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4" hidden="0" customWidth="1"/>
    <x:col min="9" max="9" width="18" hidden="0" customWidth="1"/>
    <x:col min="10" max="10" width="14" hidden="0" customWidth="1"/>
    <x:col min="11" max="11" width="16" hidden="0" customWidth="1"/>
    <x:col min="12" max="12" width="15" hidden="0" customWidth="1"/>
    <x:col min="13" max="13" width="52" hidden="0" customWidth="1"/>
  </x:cols>
  <x:sheetData>
    <x:row r="1">
      <x:c r="A1" s="6" t="str">
        <x:v>pipe</x:v>
      </x:c>
      <x:c r="B1" s="6" t="str">
        <x:v>diameter_in</x:v>
      </x:c>
      <x:c r="C1" s="6" t="str">
        <x:v>length_ft</x:v>
      </x:c>
      <x:c r="D1" s="6" t="str">
        <x:v>upstream_invert_ft</x:v>
      </x:c>
      <x:c r="E1" s="6" t="str">
        <x:v>downstream_invert_ft</x:v>
      </x:c>
      <x:c r="F1" s="6" t="str">
        <x:v>slope</x:v>
      </x:c>
      <x:c r="G1" s="6" t="str">
        <x:v>Manning_n</x:v>
      </x:c>
      <x:c r="H1" s="6" t="str">
        <x:v>area_sqft</x:v>
      </x:c>
      <x:c r="I1" s="6" t="str">
        <x:v>hydraulic_radius_ft</x:v>
      </x:c>
      <x:c r="J1" s="6" t="str">
        <x:v>capacity_cfs</x:v>
      </x:c>
      <x:c r="K1" s="6" t="str">
        <x:v>legacy_peak_Q_cfs</x:v>
      </x:c>
      <x:c r="L1" s="6" t="str">
        <x:v>legacy_pass_fail</x:v>
      </x:c>
      <x:c r="M1" s="6" t="str">
        <x:v>note</x:v>
      </x:c>
    </x:row>
    <x:row r="2">
      <x:c r="A2" s="12" t="str">
        <x:v>P-1</x:v>
      </x:c>
      <x:c r="B2" s="12" t="n">
        <x:v>18</x:v>
      </x:c>
      <x:c r="C2" s="12" t="n">
        <x:v>146</x:v>
      </x:c>
      <x:c r="D2" s="12" t="n">
        <x:v>214.9</x:v>
      </x:c>
      <x:c r="E2" s="12" t="n">
        <x:v>214.05</x:v>
      </x:c>
      <x:c r="F2" s="16" t="n">
        <x:f>(D2-E2)/C2</x:f>
        <x:v>0.005821917808219139</x:v>
      </x:c>
      <x:c r="G2" s="12" t="n">
        <x:v>0.012</x:v>
      </x:c>
      <x:c r="H2" s="18" t="n">
        <x:f>PI()*(B2/12)^2/4</x:f>
        <x:v>1.7671458676442586</x:v>
      </x:c>
      <x:c r="I2" s="18" t="n">
        <x:f>(B2/12)/4</x:f>
        <x:v>0.375</x:v>
      </x:c>
      <x:c r="J2" s="18" t="n">
        <x:f>(1.486/G2)*H2*(I2^(2/3))*(F2^0.5)</x:f>
        <x:v>8.682880879430327</x:v>
      </x:c>
      <x:c r="K2" s="12" t="n">
        <x:v>7.2</x:v>
      </x:c>
      <x:c r="L2" s="12" t="str">
        <x:f>IF(J2&gt;=K2,"PASS","FAIL")</x:f>
        <x:v>PASS</x:v>
      </x:c>
      <x:c r="M2" s="12" t="str">
        <x:v>Legacy uses 10-year intensity.</x:v>
      </x:c>
    </x:row>
    <x:row r="3">
      <x:c r="A3" s="12" t="str">
        <x:v>P-2</x:v>
      </x:c>
      <x:c r="B3" s="12" t="n">
        <x:v>21</x:v>
      </x:c>
      <x:c r="C3" s="12" t="n">
        <x:v>188</x:v>
      </x:c>
      <x:c r="D3" s="12" t="n">
        <x:v>214.05</x:v>
      </x:c>
      <x:c r="E3" s="12" t="n">
        <x:v>213.12</x:v>
      </x:c>
      <x:c r="F3" s="16" t="n">
        <x:f>(D3-E3)/C3</x:f>
        <x:v>0.004946808510638334</x:v>
      </x:c>
      <x:c r="G3" s="12" t="n">
        <x:v>0.012</x:v>
      </x:c>
      <x:c r="H3" s="18" t="n">
        <x:f>PI()*(B3/12)^2/4</x:f>
        <x:v>2.405281875404685</x:v>
      </x:c>
      <x:c r="I3" s="18" t="n">
        <x:f>(B3/12)/4</x:f>
        <x:v>0.4375</x:v>
      </x:c>
      <x:c r="J3" s="18" t="n">
        <x:f>(1.486/G3)*H3*(I3^(2/3))*(F3^0.5)</x:f>
        <x:v>12.073081434081535</x:v>
      </x:c>
      <x:c r="K3" s="12" t="n">
        <x:v>14</x:v>
      </x:c>
      <x:c r="L3" s="12" t="str">
        <x:f>IF(J3&gt;=K3,"PASS","FAIL")</x:f>
        <x:v>FAIL</x:v>
      </x:c>
      <x:c r="M3" s="12" t="str">
        <x:v>Roughness superseded by inspection notes.</x:v>
      </x:c>
    </x:row>
    <x:row r="4">
      <x:c r="A4" s="12" t="str">
        <x:v>P-3</x:v>
      </x:c>
      <x:c r="B4" s="12" t="n">
        <x:v>24</x:v>
      </x:c>
      <x:c r="C4" s="12" t="n">
        <x:v>200</x:v>
      </x:c>
      <x:c r="D4" s="12" t="n">
        <x:v>213.12</x:v>
      </x:c>
      <x:c r="E4" s="12" t="n">
        <x:v>211.92</x:v>
      </x:c>
      <x:c r="F4" s="16" t="n">
        <x:f>(D4-E4)/C4</x:f>
        <x:v>0.006000000000000085</x:v>
      </x:c>
      <x:c r="G4" s="12" t="n">
        <x:v>0.012</x:v>
      </x:c>
      <x:c r="H4" s="18" t="n">
        <x:f>PI()*(B4/12)^2/4</x:f>
        <x:v>3.141592653589793</x:v>
      </x:c>
      <x:c r="I4" s="18" t="n">
        <x:f>(B4/12)/4</x:f>
        <x:v>0.5</x:v>
      </x:c>
      <x:c r="J4" s="18" t="n">
        <x:f>(1.486/G4)*H4*(I4^(2/3))*(F4^0.5)</x:f>
        <x:v>18.983504845937215</x:v>
      </x:c>
      <x:c r="K4" s="12" t="n">
        <x:v>22</x:v>
      </x:c>
      <x:c r="L4" s="12" t="str">
        <x:f>IF(J4&gt;=K4,"PASS","FAIL")</x:f>
        <x:v>FAIL</x:v>
      </x:c>
      <x:c r="M4" s="12" t="str">
        <x:v>Downstream invert superseded by field markup.</x:v>
      </x:c>
    </x:row>
    <x:row r="5">
      <x:c r="A5" s="12" t="str">
        <x:v>P-4</x:v>
      </x:c>
      <x:c r="B5" s="12" t="n">
        <x:v>30</x:v>
      </x:c>
      <x:c r="C5" s="12" t="n">
        <x:v>164</x:v>
      </x:c>
      <x:c r="D5" s="12" t="n">
        <x:v>211.88</x:v>
      </x:c>
      <x:c r="E5" s="12" t="n">
        <x:v>211.2</x:v>
      </x:c>
      <x:c r="F5" s="16" t="n">
        <x:f>(D5-E5)/C5</x:f>
        <x:v>0.004146341463414676</x:v>
      </x:c>
      <x:c r="G5" s="12" t="n">
        <x:v>0.018</x:v>
      </x:c>
      <x:c r="H5" s="18" t="n">
        <x:f>PI()*(B5/12)^2/4</x:f>
        <x:v>4.908738521234052</x:v>
      </x:c>
      <x:c r="I5" s="18" t="n">
        <x:f>(B5/12)/4</x:f>
        <x:v>0.625</x:v>
      </x:c>
      <x:c r="J5" s="18" t="n">
        <x:f>(1.486/G5)*H5*(I5^(2/3))*(F5^0.5)</x:f>
        <x:v>19.075184485522627</x:v>
      </x:c>
      <x:c r="K5" s="12" t="n">
        <x:v>27.5</x:v>
      </x:c>
      <x:c r="L5" s="12" t="str">
        <x:f>IF(J5&gt;=K5,"PASS","FAIL")</x:f>
        <x:v>FAIL</x:v>
      </x:c>
      <x:c r="M5" s="12" t="str">
        <x:v>CMP roughness must be checked against inspection notes.</x:v>
      </x:c>
    </x:row>
  </x:sheetData>
  <x:pageMargins left="0.7" right="0.7" top="0.75" bottom="0.75" header="0.3" footer="0.3"/>
  <x:tableParts count="1">
    <x:tablePart xmlns:r="http://schemas.openxmlformats.org/officeDocument/2006/relationships" r:id="R1f001f942e3449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4" hidden="0" customWidth="1"/>
    <x:col min="7" max="7" width="55" hidden="0" customWidth="1"/>
  </x:cols>
  <x:sheetData>
    <x:row r="1">
      <x:c r="A1" s="6" t="str">
        <x:v>node</x:v>
      </x:c>
      <x:c r="B1" s="6" t="str">
        <x:v>rim_or_gutter_ft</x:v>
      </x:c>
      <x:c r="C1" s="6" t="str">
        <x:v>legacy_HGL_ft</x:v>
      </x:c>
      <x:c r="D1" s="6" t="str">
        <x:v>legacy_clearance_ft</x:v>
      </x:c>
      <x:c r="E1" s="6" t="str">
        <x:v>legacy_result</x:v>
      </x:c>
      <x:c r="F1" s="6" t="str">
        <x:v>current_rule_check_needed</x:v>
      </x:c>
      <x:c r="G1" s="6" t="str">
        <x:v>note</x:v>
      </x:c>
    </x:row>
    <x:row r="2">
      <x:c r="A2" s="12" t="str">
        <x:v>CB-1</x:v>
      </x:c>
      <x:c r="B2" s="18" t="n">
        <x:v>216.82</x:v>
      </x:c>
      <x:c r="C2" s="18" t="n">
        <x:v>216.38</x:v>
      </x:c>
      <x:c r="D2" s="18" t="n">
        <x:f>B2-C2</x:f>
        <x:v>0.4399999999999977</x:v>
      </x:c>
      <x:c r="E2" s="12" t="str">
        <x:v>PASS</x:v>
      </x:c>
      <x:c r="F2" s="12" t="str">
        <x:v>YES</x:v>
      </x:c>
      <x:c r="G2" s="12" t="str">
        <x:v>Must be rebuilt with NOAA 25-year rainfall.</x:v>
      </x:c>
    </x:row>
    <x:row r="3">
      <x:c r="A3" s="12" t="str">
        <x:v>MH-2</x:v>
      </x:c>
      <x:c r="B3" s="18" t="n">
        <x:v>216.1</x:v>
      </x:c>
      <x:c r="C3" s="18" t="n">
        <x:v>215.74</x:v>
      </x:c>
      <x:c r="D3" s="18" t="n">
        <x:f>B3-C3</x:f>
        <x:v>0.3599999999999852</x:v>
      </x:c>
      <x:c r="E3" s="12" t="str">
        <x:v>PASS</x:v>
      </x:c>
      <x:c r="F3" s="12" t="str">
        <x:v>YES</x:v>
      </x:c>
      <x:c r="G3" s="12" t="str">
        <x:v>Must be rebuilt with condition roughness.</x:v>
      </x:c>
    </x:row>
    <x:row r="4">
      <x:c r="A4" s="12" t="str">
        <x:v>MH-3</x:v>
      </x:c>
      <x:c r="B4" s="18" t="n">
        <x:v>215.58</x:v>
      </x:c>
      <x:c r="C4" s="18" t="n">
        <x:v>215.31</x:v>
      </x:c>
      <x:c r="D4" s="18" t="n">
        <x:f>B4-C4</x:f>
        <x:v>0.27000000000001023</x:v>
      </x:c>
      <x:c r="E4" s="12" t="str">
        <x:v>PASS_LEGACY</x:v>
      </x:c>
      <x:c r="F4" s="12" t="str">
        <x:v>YES</x:v>
      </x:c>
      <x:c r="G4" s="12" t="str">
        <x:v>Legacy clearance is below current 0.30 ft rule.</x:v>
      </x:c>
    </x:row>
    <x:row r="5">
      <x:c r="A5" s="12" t="str">
        <x:v>CB-3</x:v>
      </x:c>
      <x:c r="B5" s="18" t="n">
        <x:v>214.92</x:v>
      </x:c>
      <x:c r="C5" s="18" t="n">
        <x:v>214.8</x:v>
      </x:c>
      <x:c r="D5" s="18" t="n">
        <x:f>B5-C5</x:f>
        <x:v>0.11999999999997613</x:v>
      </x:c>
      <x:c r="E5" s="12" t="str">
        <x:v>PASS_LEGACY</x:v>
      </x:c>
      <x:c r="F5" s="12" t="str">
        <x:v>YES</x:v>
      </x:c>
      <x:c r="G5" s="12" t="str">
        <x:v>Legacy clearance is below current 0.30 ft rule.</x:v>
      </x:c>
    </x:row>
    <x:row r="6">
      <x:c r="A6" s="12" t="str">
        <x:v>OUT-1</x:v>
      </x:c>
      <x:c r="B6" s="18" t="n">
        <x:v>213.8</x:v>
      </x:c>
      <x:c r="C6" s="18" t="n">
        <x:v>213.65</x:v>
      </x:c>
      <x:c r="D6" s="18" t="n">
        <x:f>B6-C6</x:f>
        <x:v>0.15000000000000568</x:v>
      </x:c>
      <x:c r="E6" s="12" t="str">
        <x:v>PASS_LEGACY</x:v>
      </x:c>
      <x:c r="F6" s="12" t="str">
        <x:v>YES</x:v>
      </x:c>
      <x:c r="G6" s="12" t="str">
        <x:v>Tailwater and culvert screening unresolved.</x:v>
      </x:c>
    </x:row>
  </x:sheetData>
  <x:pageMargins left="0.7" right="0.7" top="0.75" bottom="0.75" header="0.3" footer="0.3"/>
  <x:tableParts count="1">
    <x:tablePart xmlns:r="http://schemas.openxmlformats.org/officeDocument/2006/relationships" r:id="Re9812819889b4ad0"/>
  </x:tableParts>
</x:worksheet>
</file>